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Dinh" sheetId="1" state="visible" r:id="rId1"/>
    <sheet xmlns:r="http://schemas.openxmlformats.org/officeDocument/2006/relationships" name="MoHinh12T" sheetId="2" state="visible" r:id="rId2"/>
    <sheet xmlns:r="http://schemas.openxmlformats.org/officeDocument/2006/relationships" name="Tom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781"/>
      <sz val="13"/>
    </font>
    <font>
      <b val="1"/>
    </font>
    <font>
      <i val="1"/>
      <color rgb="006B7280"/>
      <sz val="9"/>
    </font>
    <font>
      <b val="1"/>
      <color rgb="00FFFFFF"/>
      <sz val="12"/>
    </font>
    <font>
      <i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E4EFFF"/>
      </patternFill>
    </fill>
    <fill>
      <patternFill patternType="solid">
        <fgColor rgb="00FFF3C4"/>
      </patternFill>
    </fill>
    <fill>
      <patternFill patternType="solid">
        <fgColor rgb="00FFD9D6"/>
      </patternFill>
    </fill>
    <fill>
      <patternFill patternType="solid">
        <fgColor rgb="0000678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3" fontId="0" fillId="3" borderId="1" pivotButton="0" quotePrefix="0" xfId="0"/>
    <xf numFmtId="0" fontId="3" fillId="0" borderId="0" pivotButton="0" quotePrefix="0" xfId="0"/>
    <xf numFmtId="9" fontId="0" fillId="3" borderId="1" pivotButton="0" quotePrefix="0" xfId="0"/>
    <xf numFmtId="3" fontId="0" fillId="4" borderId="1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0" fontId="2" fillId="0" borderId="0" pivotButton="0" quotePrefix="0" xfId="0"/>
    <xf numFmtId="3" fontId="0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6" customWidth="1" min="3" max="3"/>
  </cols>
  <sheetData>
    <row r="1">
      <c r="A1" s="1" t="inlineStr">
        <is>
          <t>GIẢ ĐỊNH — chỉnh Ô VÀNG, toàn bộ mô hình tự tính lại</t>
        </is>
      </c>
    </row>
    <row r="3">
      <c r="A3" s="2" t="inlineStr">
        <is>
          <t>PHỄU CTV</t>
        </is>
      </c>
      <c r="B3" s="3" t="n"/>
      <c r="C3" s="3" t="n"/>
    </row>
    <row r="4">
      <c r="A4" t="inlineStr">
        <is>
          <t>Số CTV hoạt động tháng 1</t>
        </is>
      </c>
      <c r="B4" s="4" t="n">
        <v>3</v>
      </c>
      <c r="C4" s="5" t="inlineStr">
        <is>
          <t>Bắt đầu nhỏ để tinh chỉnh quy trình</t>
        </is>
      </c>
    </row>
    <row r="5">
      <c r="A5" t="inlineStr">
        <is>
          <t>CTV tuyển thêm mỗi tháng</t>
        </is>
      </c>
      <c r="B5" s="4" t="n">
        <v>1</v>
      </c>
      <c r="C5" s="5" t="inlineStr">
        <is>
          <t>Tăng dần khi quy trình chạy mượt</t>
        </is>
      </c>
    </row>
    <row r="6">
      <c r="A6" t="inlineStr">
        <is>
          <t>Hồ sơ NHẬP / CTV / tháng</t>
        </is>
      </c>
      <c r="B6" s="4" t="n">
        <v>30</v>
      </c>
      <c r="C6" s="5" t="inlineStr">
        <is>
          <t>≈7–8 hồ sơ/tuần — KPI chính thức</t>
        </is>
      </c>
    </row>
    <row r="7">
      <c r="A7" t="inlineStr">
        <is>
          <t>Tỉ lệ DUYỆT (chất lượng hồ sơ)</t>
        </is>
      </c>
      <c r="B7" s="6" t="n">
        <v>0.7</v>
      </c>
      <c r="C7" s="5" t="inlineStr">
        <is>
          <t>Benchmark checklist /sale/duyet</t>
        </is>
      </c>
    </row>
    <row r="8">
      <c r="A8" t="inlineStr">
        <is>
          <t>Tỉ lệ KÍCH HOẠT (thợ confirm lịch đầu)</t>
        </is>
      </c>
      <c r="B8" s="6" t="n">
        <v>0.4</v>
      </c>
      <c r="C8" s="5" t="inlineStr">
        <is>
          <t>Đo bằng lịch hẹn confirmed đầu tiên</t>
        </is>
      </c>
    </row>
    <row r="9">
      <c r="A9" t="inlineStr">
        <is>
          <t>Tỉ lệ thợ SỐNG (từ lũy kế kích hoạt)</t>
        </is>
      </c>
      <c r="B9" s="6" t="n">
        <v>0.6</v>
      </c>
      <c r="C9" s="5" t="inlineStr">
        <is>
          <t>Có lịch confirmed trong 30 ngày</t>
        </is>
      </c>
    </row>
    <row r="10">
      <c r="A10" s="2" t="inlineStr">
        <is>
          <t>HOA HỒNG CTV (tiền mặt)</t>
        </is>
      </c>
      <c r="B10" s="3" t="n"/>
      <c r="C10" s="3" t="n"/>
    </row>
    <row r="11">
      <c r="A11" t="inlineStr">
        <is>
          <t>Hoa hồng cơ bản / hồ sơ duyệt</t>
        </is>
      </c>
      <c r="B11" s="4" t="n">
        <v>30000</v>
      </c>
      <c r="C11" s="5" t="inlineStr">
        <is>
          <t>SALE_COMMISSION_BASE (đang chạy)</t>
        </is>
      </c>
    </row>
    <row r="12">
      <c r="A12" t="inlineStr">
        <is>
          <t>Thưởng chia sẻ / hồ sơ</t>
        </is>
      </c>
      <c r="B12" s="4" t="n">
        <v>10000</v>
      </c>
      <c r="C12" s="5" t="inlineStr">
        <is>
          <t>SALE_COMMISSION_SHARE_BONUS (đang chạy)</t>
        </is>
      </c>
    </row>
    <row r="13">
      <c r="A13" t="inlineStr">
        <is>
          <t>Tỉ lệ hồ sơ có thưởng chia sẻ</t>
        </is>
      </c>
      <c r="B13" s="6" t="n">
        <v>0.5</v>
      </c>
    </row>
    <row r="14">
      <c r="A14" t="inlineStr">
        <is>
          <t>Thưởng kích hoạt / thợ (ĐỀ XUẤT)</t>
        </is>
      </c>
      <c r="B14" s="4" t="n">
        <v>20000</v>
      </c>
      <c r="C14" s="5" t="inlineStr">
        <is>
          <t>Trả khi thợ confirm lịch đầu tiên</t>
        </is>
      </c>
    </row>
    <row r="15">
      <c r="A15" t="inlineStr">
        <is>
          <t>Thưởng mốc tháng / CTV đạt</t>
        </is>
      </c>
      <c r="B15" s="4" t="n">
        <v>200000</v>
      </c>
      <c r="C15" s="5" t="inlineStr">
        <is>
          <t>Đạt &gt;=30 hồ sơ duyệt/tháng</t>
        </is>
      </c>
    </row>
    <row r="16">
      <c r="A16" t="inlineStr">
        <is>
          <t>Tỉ lệ CTV đạt mốc</t>
        </is>
      </c>
      <c r="B16" s="6" t="n">
        <v>0.3</v>
      </c>
    </row>
    <row r="17">
      <c r="A17" s="2" t="inlineStr">
        <is>
          <t>CHI PHÍ VẬN HÀNH (tiền mặt)</t>
        </is>
      </c>
      <c r="B17" s="3" t="n"/>
      <c r="C17" s="3" t="n"/>
    </row>
    <row r="18">
      <c r="A18" t="inlineStr">
        <is>
          <t>Server + hạ tầng / tháng</t>
        </is>
      </c>
      <c r="B18" s="4" t="n">
        <v>700000</v>
      </c>
      <c r="C18" s="5" t="inlineStr">
        <is>
          <t>VPS + backup + domain</t>
        </is>
      </c>
    </row>
    <row r="19">
      <c r="A19" t="inlineStr">
        <is>
          <t>Công cụ khác / tháng</t>
        </is>
      </c>
      <c r="B19" s="4" t="n">
        <v>300000</v>
      </c>
      <c r="C19" s="5" t="inlineStr">
        <is>
          <t>API, tiện ích, dự phòng</t>
        </is>
      </c>
    </row>
    <row r="20">
      <c r="A20" t="inlineStr">
        <is>
          <t>Salekit / CTV mới (in ấn, áo, QR)</t>
        </is>
      </c>
      <c r="B20" s="4" t="n">
        <v>50000</v>
      </c>
    </row>
    <row r="21">
      <c r="A21" t="inlineStr">
        <is>
          <t>Chi Zalo ZNS / thợ sống / tháng</t>
        </is>
      </c>
      <c r="B21" s="4" t="n">
        <v>3000</v>
      </c>
      <c r="C21" s="5" t="inlineStr">
        <is>
          <t>≈8 tin x 350đ (khi bật ZNS)</t>
        </is>
      </c>
    </row>
    <row r="22">
      <c r="A22" s="2" t="inlineStr">
        <is>
          <t>DOANH THU</t>
        </is>
      </c>
      <c r="B22" s="3" t="n"/>
      <c r="C22" s="3" t="n"/>
    </row>
    <row r="23">
      <c r="A23" t="inlineStr">
        <is>
          <t>Doanh thu nền tảng</t>
        </is>
      </c>
      <c r="B23" s="7" t="n">
        <v>0</v>
      </c>
      <c r="C23" s="5">
        <f> 0 THEO CHIẾN LƯỢC — monetize cách khác sau. Tặng ví 200k là TIỀN ẢO, không phải chi tiền mặt.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MÔ HÌNH 12 THÁNG — toàn công thức, đổi GiaDinh là tự chạy</t>
        </is>
      </c>
    </row>
    <row r="3">
      <c r="A3" s="8" t="inlineStr">
        <is>
          <t>Chỉ số</t>
        </is>
      </c>
      <c r="B3" s="9" t="inlineStr">
        <is>
          <t>T1</t>
        </is>
      </c>
      <c r="C3" s="9" t="inlineStr">
        <is>
          <t>T2</t>
        </is>
      </c>
      <c r="D3" s="9" t="inlineStr">
        <is>
          <t>T3</t>
        </is>
      </c>
      <c r="E3" s="9" t="inlineStr">
        <is>
          <t>T4</t>
        </is>
      </c>
      <c r="F3" s="9" t="inlineStr">
        <is>
          <t>T5</t>
        </is>
      </c>
      <c r="G3" s="9" t="inlineStr">
        <is>
          <t>T6</t>
        </is>
      </c>
      <c r="H3" s="9" t="inlineStr">
        <is>
          <t>T7</t>
        </is>
      </c>
      <c r="I3" s="9" t="inlineStr">
        <is>
          <t>T8</t>
        </is>
      </c>
      <c r="J3" s="9" t="inlineStr">
        <is>
          <t>T9</t>
        </is>
      </c>
      <c r="K3" s="9" t="inlineStr">
        <is>
          <t>T10</t>
        </is>
      </c>
      <c r="L3" s="9" t="inlineStr">
        <is>
          <t>T11</t>
        </is>
      </c>
      <c r="M3" s="9" t="inlineStr">
        <is>
          <t>T12</t>
        </is>
      </c>
      <c r="N3" s="8" t="inlineStr">
        <is>
          <t>CẢ NĂM</t>
        </is>
      </c>
    </row>
    <row r="5">
      <c r="A5" s="3" t="inlineStr">
        <is>
          <t>── PHỄU ──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t="inlineStr">
        <is>
          <t>Số CTV hoạt động</t>
        </is>
      </c>
      <c r="B6" s="10">
        <f>GiaDinh!$B$4</f>
        <v/>
      </c>
      <c r="C6" s="10">
        <f>B6+GiaDinh!$B$5</f>
        <v/>
      </c>
      <c r="D6" s="10">
        <f>C6+GiaDinh!$B$5</f>
        <v/>
      </c>
      <c r="E6" s="10">
        <f>D6+GiaDinh!$B$5</f>
        <v/>
      </c>
      <c r="F6" s="10">
        <f>E6+GiaDinh!$B$5</f>
        <v/>
      </c>
      <c r="G6" s="10">
        <f>F6+GiaDinh!$B$5</f>
        <v/>
      </c>
      <c r="H6" s="10">
        <f>G6+GiaDinh!$B$5</f>
        <v/>
      </c>
      <c r="I6" s="10">
        <f>H6+GiaDinh!$B$5</f>
        <v/>
      </c>
      <c r="J6" s="10">
        <f>I6+GiaDinh!$B$5</f>
        <v/>
      </c>
      <c r="K6" s="10">
        <f>J6+GiaDinh!$B$5</f>
        <v/>
      </c>
      <c r="L6" s="10">
        <f>K6+GiaDinh!$B$5</f>
        <v/>
      </c>
      <c r="M6" s="10">
        <f>L6+GiaDinh!$B$5</f>
        <v/>
      </c>
      <c r="N6" s="11">
        <f>M6</f>
        <v/>
      </c>
    </row>
    <row r="7">
      <c r="A7" t="inlineStr">
        <is>
          <t>Hồ sơ nhập</t>
        </is>
      </c>
      <c r="B7" s="10">
        <f>B6*GiaDinh!$B$6</f>
        <v/>
      </c>
      <c r="C7" s="10">
        <f>C6*GiaDinh!$B$6</f>
        <v/>
      </c>
      <c r="D7" s="10">
        <f>D6*GiaDinh!$B$6</f>
        <v/>
      </c>
      <c r="E7" s="10">
        <f>E6*GiaDinh!$B$6</f>
        <v/>
      </c>
      <c r="F7" s="10">
        <f>F6*GiaDinh!$B$6</f>
        <v/>
      </c>
      <c r="G7" s="10">
        <f>G6*GiaDinh!$B$6</f>
        <v/>
      </c>
      <c r="H7" s="10">
        <f>H6*GiaDinh!$B$6</f>
        <v/>
      </c>
      <c r="I7" s="10">
        <f>I6*GiaDinh!$B$6</f>
        <v/>
      </c>
      <c r="J7" s="10">
        <f>J6*GiaDinh!$B$6</f>
        <v/>
      </c>
      <c r="K7" s="10">
        <f>K6*GiaDinh!$B$6</f>
        <v/>
      </c>
      <c r="L7" s="10">
        <f>L6*GiaDinh!$B$6</f>
        <v/>
      </c>
      <c r="M7" s="10">
        <f>M6*GiaDinh!$B$6</f>
        <v/>
      </c>
      <c r="N7" s="11">
        <f>SUM(B7:M7)</f>
        <v/>
      </c>
    </row>
    <row r="8">
      <c r="A8" s="12" t="inlineStr">
        <is>
          <t>Hồ sơ duyệt</t>
        </is>
      </c>
      <c r="B8" s="11">
        <f>ROUND(B7*GiaDinh!$B$7,0)</f>
        <v/>
      </c>
      <c r="C8" s="11">
        <f>ROUND(C7*GiaDinh!$B$7,0)</f>
        <v/>
      </c>
      <c r="D8" s="11">
        <f>ROUND(D7*GiaDinh!$B$7,0)</f>
        <v/>
      </c>
      <c r="E8" s="11">
        <f>ROUND(E7*GiaDinh!$B$7,0)</f>
        <v/>
      </c>
      <c r="F8" s="11">
        <f>ROUND(F7*GiaDinh!$B$7,0)</f>
        <v/>
      </c>
      <c r="G8" s="11">
        <f>ROUND(G7*GiaDinh!$B$7,0)</f>
        <v/>
      </c>
      <c r="H8" s="11">
        <f>ROUND(H7*GiaDinh!$B$7,0)</f>
        <v/>
      </c>
      <c r="I8" s="11">
        <f>ROUND(I7*GiaDinh!$B$7,0)</f>
        <v/>
      </c>
      <c r="J8" s="11">
        <f>ROUND(J7*GiaDinh!$B$7,0)</f>
        <v/>
      </c>
      <c r="K8" s="11">
        <f>ROUND(K7*GiaDinh!$B$7,0)</f>
        <v/>
      </c>
      <c r="L8" s="11">
        <f>ROUND(L7*GiaDinh!$B$7,0)</f>
        <v/>
      </c>
      <c r="M8" s="11">
        <f>ROUND(M7*GiaDinh!$B$7,0)</f>
        <v/>
      </c>
      <c r="N8" s="11">
        <f>SUM(B8:M8)</f>
        <v/>
      </c>
    </row>
    <row r="9">
      <c r="A9" t="inlineStr">
        <is>
          <t>Thợ kích hoạt trong tháng</t>
        </is>
      </c>
      <c r="B9" s="10">
        <f>ROUND(B8*GiaDinh!$B$8,0)</f>
        <v/>
      </c>
      <c r="C9" s="10">
        <f>ROUND(C8*GiaDinh!$B$8,0)</f>
        <v/>
      </c>
      <c r="D9" s="10">
        <f>ROUND(D8*GiaDinh!$B$8,0)</f>
        <v/>
      </c>
      <c r="E9" s="10">
        <f>ROUND(E8*GiaDinh!$B$8,0)</f>
        <v/>
      </c>
      <c r="F9" s="10">
        <f>ROUND(F8*GiaDinh!$B$8,0)</f>
        <v/>
      </c>
      <c r="G9" s="10">
        <f>ROUND(G8*GiaDinh!$B$8,0)</f>
        <v/>
      </c>
      <c r="H9" s="10">
        <f>ROUND(H8*GiaDinh!$B$8,0)</f>
        <v/>
      </c>
      <c r="I9" s="10">
        <f>ROUND(I8*GiaDinh!$B$8,0)</f>
        <v/>
      </c>
      <c r="J9" s="10">
        <f>ROUND(J8*GiaDinh!$B$8,0)</f>
        <v/>
      </c>
      <c r="K9" s="10">
        <f>ROUND(K8*GiaDinh!$B$8,0)</f>
        <v/>
      </c>
      <c r="L9" s="10">
        <f>ROUND(L8*GiaDinh!$B$8,0)</f>
        <v/>
      </c>
      <c r="M9" s="10">
        <f>ROUND(M8*GiaDinh!$B$8,0)</f>
        <v/>
      </c>
      <c r="N9" s="11">
        <f>SUM(B9:M9)</f>
        <v/>
      </c>
    </row>
    <row r="10">
      <c r="A10" s="12" t="inlineStr">
        <is>
          <t>LŨY KẾ thợ duyệt</t>
        </is>
      </c>
      <c r="B10" s="11">
        <f>B8</f>
        <v/>
      </c>
      <c r="C10" s="11">
        <f>B10+C8</f>
        <v/>
      </c>
      <c r="D10" s="11">
        <f>C10+D8</f>
        <v/>
      </c>
      <c r="E10" s="11">
        <f>D10+E8</f>
        <v/>
      </c>
      <c r="F10" s="11">
        <f>E10+F8</f>
        <v/>
      </c>
      <c r="G10" s="11">
        <f>F10+G8</f>
        <v/>
      </c>
      <c r="H10" s="11">
        <f>G10+H8</f>
        <v/>
      </c>
      <c r="I10" s="11">
        <f>H10+I8</f>
        <v/>
      </c>
      <c r="J10" s="11">
        <f>I10+J8</f>
        <v/>
      </c>
      <c r="K10" s="11">
        <f>J10+K8</f>
        <v/>
      </c>
      <c r="L10" s="11">
        <f>K10+L8</f>
        <v/>
      </c>
      <c r="M10" s="11">
        <f>L10+M8</f>
        <v/>
      </c>
      <c r="N10" s="11">
        <f>M10</f>
        <v/>
      </c>
    </row>
    <row r="11">
      <c r="A11" t="inlineStr">
        <is>
          <t>LŨY KẾ thợ kích hoạt</t>
        </is>
      </c>
      <c r="B11" s="10">
        <f>B9</f>
        <v/>
      </c>
      <c r="C11" s="10">
        <f>B11+C9</f>
        <v/>
      </c>
      <c r="D11" s="10">
        <f>C11+D9</f>
        <v/>
      </c>
      <c r="E11" s="10">
        <f>D11+E9</f>
        <v/>
      </c>
      <c r="F11" s="10">
        <f>E11+F9</f>
        <v/>
      </c>
      <c r="G11" s="10">
        <f>F11+G9</f>
        <v/>
      </c>
      <c r="H11" s="10">
        <f>G11+H9</f>
        <v/>
      </c>
      <c r="I11" s="10">
        <f>H11+I9</f>
        <v/>
      </c>
      <c r="J11" s="10">
        <f>I11+J9</f>
        <v/>
      </c>
      <c r="K11" s="10">
        <f>J11+K9</f>
        <v/>
      </c>
      <c r="L11" s="10">
        <f>K11+L9</f>
        <v/>
      </c>
      <c r="M11" s="10">
        <f>L11+M9</f>
        <v/>
      </c>
      <c r="N11" s="11">
        <f>M11</f>
        <v/>
      </c>
    </row>
    <row r="12">
      <c r="A12" t="inlineStr">
        <is>
          <t>Thợ SỐNG (ước tính)</t>
        </is>
      </c>
      <c r="B12" s="10">
        <f>ROUND(B11*GiaDinh!$B$9,0)</f>
        <v/>
      </c>
      <c r="C12" s="10">
        <f>ROUND(C11*GiaDinh!$B$9,0)</f>
        <v/>
      </c>
      <c r="D12" s="10">
        <f>ROUND(D11*GiaDinh!$B$9,0)</f>
        <v/>
      </c>
      <c r="E12" s="10">
        <f>ROUND(E11*GiaDinh!$B$9,0)</f>
        <v/>
      </c>
      <c r="F12" s="10">
        <f>ROUND(F11*GiaDinh!$B$9,0)</f>
        <v/>
      </c>
      <c r="G12" s="10">
        <f>ROUND(G11*GiaDinh!$B$9,0)</f>
        <v/>
      </c>
      <c r="H12" s="10">
        <f>ROUND(H11*GiaDinh!$B$9,0)</f>
        <v/>
      </c>
      <c r="I12" s="10">
        <f>ROUND(I11*GiaDinh!$B$9,0)</f>
        <v/>
      </c>
      <c r="J12" s="10">
        <f>ROUND(J11*GiaDinh!$B$9,0)</f>
        <v/>
      </c>
      <c r="K12" s="10">
        <f>ROUND(K11*GiaDinh!$B$9,0)</f>
        <v/>
      </c>
      <c r="L12" s="10">
        <f>ROUND(L11*GiaDinh!$B$9,0)</f>
        <v/>
      </c>
      <c r="M12" s="10">
        <f>ROUND(M11*GiaDinh!$B$9,0)</f>
        <v/>
      </c>
      <c r="N12" s="11">
        <f>M12</f>
        <v/>
      </c>
    </row>
    <row r="14">
      <c r="A14" s="3" t="inlineStr">
        <is>
          <t>── CHI TIỀN MẶT ──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t="inlineStr">
        <is>
          <t>Hoa hồng cơ bản</t>
        </is>
      </c>
      <c r="B15" s="10">
        <f>B8*GiaDinh!$B$11</f>
        <v/>
      </c>
      <c r="C15" s="10">
        <f>C8*GiaDinh!$B$11</f>
        <v/>
      </c>
      <c r="D15" s="10">
        <f>D8*GiaDinh!$B$11</f>
        <v/>
      </c>
      <c r="E15" s="10">
        <f>E8*GiaDinh!$B$11</f>
        <v/>
      </c>
      <c r="F15" s="10">
        <f>F8*GiaDinh!$B$11</f>
        <v/>
      </c>
      <c r="G15" s="10">
        <f>G8*GiaDinh!$B$11</f>
        <v/>
      </c>
      <c r="H15" s="10">
        <f>H8*GiaDinh!$B$11</f>
        <v/>
      </c>
      <c r="I15" s="10">
        <f>I8*GiaDinh!$B$11</f>
        <v/>
      </c>
      <c r="J15" s="10">
        <f>J8*GiaDinh!$B$11</f>
        <v/>
      </c>
      <c r="K15" s="10">
        <f>K8*GiaDinh!$B$11</f>
        <v/>
      </c>
      <c r="L15" s="10">
        <f>L8*GiaDinh!$B$11</f>
        <v/>
      </c>
      <c r="M15" s="10">
        <f>M8*GiaDinh!$B$11</f>
        <v/>
      </c>
      <c r="N15" s="11">
        <f>SUM(B15:M15)</f>
        <v/>
      </c>
    </row>
    <row r="16">
      <c r="A16" t="inlineStr">
        <is>
          <t>Thưởng chia sẻ</t>
        </is>
      </c>
      <c r="B16" s="10">
        <f>B8*GiaDinh!$B$13*GiaDinh!$B$12</f>
        <v/>
      </c>
      <c r="C16" s="10">
        <f>C8*GiaDinh!$B$13*GiaDinh!$B$12</f>
        <v/>
      </c>
      <c r="D16" s="10">
        <f>D8*GiaDinh!$B$13*GiaDinh!$B$12</f>
        <v/>
      </c>
      <c r="E16" s="10">
        <f>E8*GiaDinh!$B$13*GiaDinh!$B$12</f>
        <v/>
      </c>
      <c r="F16" s="10">
        <f>F8*GiaDinh!$B$13*GiaDinh!$B$12</f>
        <v/>
      </c>
      <c r="G16" s="10">
        <f>G8*GiaDinh!$B$13*GiaDinh!$B$12</f>
        <v/>
      </c>
      <c r="H16" s="10">
        <f>H8*GiaDinh!$B$13*GiaDinh!$B$12</f>
        <v/>
      </c>
      <c r="I16" s="10">
        <f>I8*GiaDinh!$B$13*GiaDinh!$B$12</f>
        <v/>
      </c>
      <c r="J16" s="10">
        <f>J8*GiaDinh!$B$13*GiaDinh!$B$12</f>
        <v/>
      </c>
      <c r="K16" s="10">
        <f>K8*GiaDinh!$B$13*GiaDinh!$B$12</f>
        <v/>
      </c>
      <c r="L16" s="10">
        <f>L8*GiaDinh!$B$13*GiaDinh!$B$12</f>
        <v/>
      </c>
      <c r="M16" s="10">
        <f>M8*GiaDinh!$B$13*GiaDinh!$B$12</f>
        <v/>
      </c>
      <c r="N16" s="11">
        <f>SUM(B16:M16)</f>
        <v/>
      </c>
    </row>
    <row r="17">
      <c r="A17" t="inlineStr">
        <is>
          <t>Thưởng kích hoạt (đề xuất)</t>
        </is>
      </c>
      <c r="B17" s="10">
        <f>B9*GiaDinh!$B$14</f>
        <v/>
      </c>
      <c r="C17" s="10">
        <f>C9*GiaDinh!$B$14</f>
        <v/>
      </c>
      <c r="D17" s="10">
        <f>D9*GiaDinh!$B$14</f>
        <v/>
      </c>
      <c r="E17" s="10">
        <f>E9*GiaDinh!$B$14</f>
        <v/>
      </c>
      <c r="F17" s="10">
        <f>F9*GiaDinh!$B$14</f>
        <v/>
      </c>
      <c r="G17" s="10">
        <f>G9*GiaDinh!$B$14</f>
        <v/>
      </c>
      <c r="H17" s="10">
        <f>H9*GiaDinh!$B$14</f>
        <v/>
      </c>
      <c r="I17" s="10">
        <f>I9*GiaDinh!$B$14</f>
        <v/>
      </c>
      <c r="J17" s="10">
        <f>J9*GiaDinh!$B$14</f>
        <v/>
      </c>
      <c r="K17" s="10">
        <f>K9*GiaDinh!$B$14</f>
        <v/>
      </c>
      <c r="L17" s="10">
        <f>L9*GiaDinh!$B$14</f>
        <v/>
      </c>
      <c r="M17" s="10">
        <f>M9*GiaDinh!$B$14</f>
        <v/>
      </c>
      <c r="N17" s="11">
        <f>SUM(B17:M17)</f>
        <v/>
      </c>
    </row>
    <row r="18">
      <c r="A18" t="inlineStr">
        <is>
          <t>Thưởng mốc tháng</t>
        </is>
      </c>
      <c r="B18" s="10">
        <f>ROUND(B6*GiaDinh!$B$16,0)*GiaDinh!$B$15</f>
        <v/>
      </c>
      <c r="C18" s="10">
        <f>ROUND(C6*GiaDinh!$B$16,0)*GiaDinh!$B$15</f>
        <v/>
      </c>
      <c r="D18" s="10">
        <f>ROUND(D6*GiaDinh!$B$16,0)*GiaDinh!$B$15</f>
        <v/>
      </c>
      <c r="E18" s="10">
        <f>ROUND(E6*GiaDinh!$B$16,0)*GiaDinh!$B$15</f>
        <v/>
      </c>
      <c r="F18" s="10">
        <f>ROUND(F6*GiaDinh!$B$16,0)*GiaDinh!$B$15</f>
        <v/>
      </c>
      <c r="G18" s="10">
        <f>ROUND(G6*GiaDinh!$B$16,0)*GiaDinh!$B$15</f>
        <v/>
      </c>
      <c r="H18" s="10">
        <f>ROUND(H6*GiaDinh!$B$16,0)*GiaDinh!$B$15</f>
        <v/>
      </c>
      <c r="I18" s="10">
        <f>ROUND(I6*GiaDinh!$B$16,0)*GiaDinh!$B$15</f>
        <v/>
      </c>
      <c r="J18" s="10">
        <f>ROUND(J6*GiaDinh!$B$16,0)*GiaDinh!$B$15</f>
        <v/>
      </c>
      <c r="K18" s="10">
        <f>ROUND(K6*GiaDinh!$B$16,0)*GiaDinh!$B$15</f>
        <v/>
      </c>
      <c r="L18" s="10">
        <f>ROUND(L6*GiaDinh!$B$16,0)*GiaDinh!$B$15</f>
        <v/>
      </c>
      <c r="M18" s="10">
        <f>ROUND(M6*GiaDinh!$B$16,0)*GiaDinh!$B$15</f>
        <v/>
      </c>
      <c r="N18" s="11">
        <f>SUM(B18:M18)</f>
        <v/>
      </c>
    </row>
    <row r="19">
      <c r="A19" t="inlineStr">
        <is>
          <t>Salekit CTV mới</t>
        </is>
      </c>
      <c r="B19" s="10">
        <f>B6*GiaDinh!$B$20</f>
        <v/>
      </c>
      <c r="C19" s="10">
        <f>(C6-B6)*GiaDinh!$B$20</f>
        <v/>
      </c>
      <c r="D19" s="10">
        <f>(D6-C6)*GiaDinh!$B$20</f>
        <v/>
      </c>
      <c r="E19" s="10">
        <f>(E6-D6)*GiaDinh!$B$20</f>
        <v/>
      </c>
      <c r="F19" s="10">
        <f>(F6-E6)*GiaDinh!$B$20</f>
        <v/>
      </c>
      <c r="G19" s="10">
        <f>(G6-F6)*GiaDinh!$B$20</f>
        <v/>
      </c>
      <c r="H19" s="10">
        <f>(H6-G6)*GiaDinh!$B$20</f>
        <v/>
      </c>
      <c r="I19" s="10">
        <f>(I6-H6)*GiaDinh!$B$20</f>
        <v/>
      </c>
      <c r="J19" s="10">
        <f>(J6-I6)*GiaDinh!$B$20</f>
        <v/>
      </c>
      <c r="K19" s="10">
        <f>(K6-J6)*GiaDinh!$B$20</f>
        <v/>
      </c>
      <c r="L19" s="10">
        <f>(L6-K6)*GiaDinh!$B$20</f>
        <v/>
      </c>
      <c r="M19" s="10">
        <f>(M6-L6)*GiaDinh!$B$20</f>
        <v/>
      </c>
      <c r="N19" s="11">
        <f>SUM(B19:M19)</f>
        <v/>
      </c>
    </row>
    <row r="20">
      <c r="A20" t="inlineStr">
        <is>
          <t>Server + công cụ</t>
        </is>
      </c>
      <c r="B20" s="10">
        <f>GiaDinh!$B$18+GiaDinh!$B$19</f>
        <v/>
      </c>
      <c r="C20" s="10">
        <f>GiaDinh!$B$18+GiaDinh!$B$19</f>
        <v/>
      </c>
      <c r="D20" s="10">
        <f>GiaDinh!$B$18+GiaDinh!$B$19</f>
        <v/>
      </c>
      <c r="E20" s="10">
        <f>GiaDinh!$B$18+GiaDinh!$B$19</f>
        <v/>
      </c>
      <c r="F20" s="10">
        <f>GiaDinh!$B$18+GiaDinh!$B$19</f>
        <v/>
      </c>
      <c r="G20" s="10">
        <f>GiaDinh!$B$18+GiaDinh!$B$19</f>
        <v/>
      </c>
      <c r="H20" s="10">
        <f>GiaDinh!$B$18+GiaDinh!$B$19</f>
        <v/>
      </c>
      <c r="I20" s="10">
        <f>GiaDinh!$B$18+GiaDinh!$B$19</f>
        <v/>
      </c>
      <c r="J20" s="10">
        <f>GiaDinh!$B$18+GiaDinh!$B$19</f>
        <v/>
      </c>
      <c r="K20" s="10">
        <f>GiaDinh!$B$18+GiaDinh!$B$19</f>
        <v/>
      </c>
      <c r="L20" s="10">
        <f>GiaDinh!$B$18+GiaDinh!$B$19</f>
        <v/>
      </c>
      <c r="M20" s="10">
        <f>GiaDinh!$B$18+GiaDinh!$B$19</f>
        <v/>
      </c>
      <c r="N20" s="11">
        <f>SUM(B20:M20)</f>
        <v/>
      </c>
    </row>
    <row r="21">
      <c r="A21" t="inlineStr">
        <is>
          <t>Zalo ZNS</t>
        </is>
      </c>
      <c r="B21" s="10">
        <f>B12*GiaDinh!$B$21</f>
        <v/>
      </c>
      <c r="C21" s="10">
        <f>C12*GiaDinh!$B$21</f>
        <v/>
      </c>
      <c r="D21" s="10">
        <f>D12*GiaDinh!$B$21</f>
        <v/>
      </c>
      <c r="E21" s="10">
        <f>E12*GiaDinh!$B$21</f>
        <v/>
      </c>
      <c r="F21" s="10">
        <f>F12*GiaDinh!$B$21</f>
        <v/>
      </c>
      <c r="G21" s="10">
        <f>G12*GiaDinh!$B$21</f>
        <v/>
      </c>
      <c r="H21" s="10">
        <f>H12*GiaDinh!$B$21</f>
        <v/>
      </c>
      <c r="I21" s="10">
        <f>I12*GiaDinh!$B$21</f>
        <v/>
      </c>
      <c r="J21" s="10">
        <f>J12*GiaDinh!$B$21</f>
        <v/>
      </c>
      <c r="K21" s="10">
        <f>K12*GiaDinh!$B$21</f>
        <v/>
      </c>
      <c r="L21" s="10">
        <f>L12*GiaDinh!$B$21</f>
        <v/>
      </c>
      <c r="M21" s="10">
        <f>M12*GiaDinh!$B$21</f>
        <v/>
      </c>
      <c r="N21" s="11">
        <f>SUM(B21:M21)</f>
        <v/>
      </c>
    </row>
    <row r="22">
      <c r="A22" s="12" t="inlineStr">
        <is>
          <t>TỔNG CHI THÁNG</t>
        </is>
      </c>
      <c r="B22" s="11">
        <f>SUM(B15:B21)</f>
        <v/>
      </c>
      <c r="C22" s="11">
        <f>SUM(C15:C21)</f>
        <v/>
      </c>
      <c r="D22" s="11">
        <f>SUM(D15:D21)</f>
        <v/>
      </c>
      <c r="E22" s="11">
        <f>SUM(E15:E21)</f>
        <v/>
      </c>
      <c r="F22" s="11">
        <f>SUM(F15:F21)</f>
        <v/>
      </c>
      <c r="G22" s="11">
        <f>SUM(G15:G21)</f>
        <v/>
      </c>
      <c r="H22" s="11">
        <f>SUM(H15:H21)</f>
        <v/>
      </c>
      <c r="I22" s="11">
        <f>SUM(I15:I21)</f>
        <v/>
      </c>
      <c r="J22" s="11">
        <f>SUM(J15:J21)</f>
        <v/>
      </c>
      <c r="K22" s="11">
        <f>SUM(K15:K21)</f>
        <v/>
      </c>
      <c r="L22" s="11">
        <f>SUM(L15:L21)</f>
        <v/>
      </c>
      <c r="M22" s="11">
        <f>SUM(M15:M21)</f>
        <v/>
      </c>
      <c r="N22" s="11">
        <f>SUM(B22:M22)</f>
        <v/>
      </c>
    </row>
    <row r="24">
      <c r="A24" s="3" t="inlineStr">
        <is>
          <t>── DÒNG TIỀN ──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t="inlineStr">
        <is>
          <t>Doanh thu nền tảng (= 0)</t>
        </is>
      </c>
      <c r="B25" s="10">
        <f>GiaDinh!$B$23</f>
        <v/>
      </c>
      <c r="C25" s="10">
        <f>GiaDinh!$B$23</f>
        <v/>
      </c>
      <c r="D25" s="10">
        <f>GiaDinh!$B$23</f>
        <v/>
      </c>
      <c r="E25" s="10">
        <f>GiaDinh!$B$23</f>
        <v/>
      </c>
      <c r="F25" s="10">
        <f>GiaDinh!$B$23</f>
        <v/>
      </c>
      <c r="G25" s="10">
        <f>GiaDinh!$B$23</f>
        <v/>
      </c>
      <c r="H25" s="10">
        <f>GiaDinh!$B$23</f>
        <v/>
      </c>
      <c r="I25" s="10">
        <f>GiaDinh!$B$23</f>
        <v/>
      </c>
      <c r="J25" s="10">
        <f>GiaDinh!$B$23</f>
        <v/>
      </c>
      <c r="K25" s="10">
        <f>GiaDinh!$B$23</f>
        <v/>
      </c>
      <c r="L25" s="10">
        <f>GiaDinh!$B$23</f>
        <v/>
      </c>
      <c r="M25" s="10">
        <f>GiaDinh!$B$23</f>
        <v/>
      </c>
      <c r="N25" s="11">
        <f>SUM(B25:M25)</f>
        <v/>
      </c>
    </row>
    <row r="26">
      <c r="A26" s="12" t="inlineStr">
        <is>
          <t>Dòng tiền ròng</t>
        </is>
      </c>
      <c r="B26" s="11">
        <f>B25-B22</f>
        <v/>
      </c>
      <c r="C26" s="11">
        <f>C25-C22</f>
        <v/>
      </c>
      <c r="D26" s="11">
        <f>D25-D22</f>
        <v/>
      </c>
      <c r="E26" s="11">
        <f>E25-E22</f>
        <v/>
      </c>
      <c r="F26" s="11">
        <f>F25-F22</f>
        <v/>
      </c>
      <c r="G26" s="11">
        <f>G25-G22</f>
        <v/>
      </c>
      <c r="H26" s="11">
        <f>H25-H22</f>
        <v/>
      </c>
      <c r="I26" s="11">
        <f>I25-I22</f>
        <v/>
      </c>
      <c r="J26" s="11">
        <f>J25-J22</f>
        <v/>
      </c>
      <c r="K26" s="11">
        <f>K25-K22</f>
        <v/>
      </c>
      <c r="L26" s="11">
        <f>L25-L22</f>
        <v/>
      </c>
      <c r="M26" s="11">
        <f>M25-M22</f>
        <v/>
      </c>
      <c r="N26" s="11">
        <f>SUM(B26:M26)</f>
        <v/>
      </c>
    </row>
    <row r="27">
      <c r="A27" s="12" t="inlineStr">
        <is>
          <t>LŨY KẾ BURN</t>
        </is>
      </c>
      <c r="B27" s="11">
        <f>B26</f>
        <v/>
      </c>
      <c r="C27" s="11">
        <f>B27+C26</f>
        <v/>
      </c>
      <c r="D27" s="11">
        <f>C27+D26</f>
        <v/>
      </c>
      <c r="E27" s="11">
        <f>D27+E26</f>
        <v/>
      </c>
      <c r="F27" s="11">
        <f>E27+F26</f>
        <v/>
      </c>
      <c r="G27" s="11">
        <f>F27+G26</f>
        <v/>
      </c>
      <c r="H27" s="11">
        <f>G27+H26</f>
        <v/>
      </c>
      <c r="I27" s="11">
        <f>H27+I26</f>
        <v/>
      </c>
      <c r="J27" s="11">
        <f>I27+J26</f>
        <v/>
      </c>
      <c r="K27" s="11">
        <f>J27+K26</f>
        <v/>
      </c>
      <c r="L27" s="11">
        <f>K27+L26</f>
        <v/>
      </c>
      <c r="M27" s="11">
        <f>L27+M26</f>
        <v/>
      </c>
      <c r="N27" s="11">
        <f>M27</f>
        <v/>
      </c>
    </row>
    <row r="29">
      <c r="A29" s="3" t="inlineStr">
        <is>
          <t>── HIỆU QUẢ ──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t="inlineStr">
        <is>
          <t>Chi phí / hồ sơ duyệt</t>
        </is>
      </c>
      <c r="B30" s="10">
        <f>IF(B8=0,0,B22/B8)</f>
        <v/>
      </c>
      <c r="C30" s="10">
        <f>IF(C8=0,0,C22/C8)</f>
        <v/>
      </c>
      <c r="D30" s="10">
        <f>IF(D8=0,0,D22/D8)</f>
        <v/>
      </c>
      <c r="E30" s="10">
        <f>IF(E8=0,0,E22/E8)</f>
        <v/>
      </c>
      <c r="F30" s="10">
        <f>IF(F8=0,0,F22/F8)</f>
        <v/>
      </c>
      <c r="G30" s="10">
        <f>IF(G8=0,0,G22/G8)</f>
        <v/>
      </c>
      <c r="H30" s="10">
        <f>IF(H8=0,0,H22/H8)</f>
        <v/>
      </c>
      <c r="I30" s="10">
        <f>IF(I8=0,0,I22/I8)</f>
        <v/>
      </c>
      <c r="J30" s="10">
        <f>IF(J8=0,0,J22/J8)</f>
        <v/>
      </c>
      <c r="K30" s="10">
        <f>IF(K8=0,0,K22/K8)</f>
        <v/>
      </c>
      <c r="L30" s="10">
        <f>IF(L8=0,0,L22/L8)</f>
        <v/>
      </c>
      <c r="M30" s="10">
        <f>IF(M8=0,0,M22/M8)</f>
        <v/>
      </c>
      <c r="N30" s="11">
        <f>IF(N8=0,0,N22/N8)</f>
        <v/>
      </c>
    </row>
    <row r="31">
      <c r="A31" t="inlineStr">
        <is>
          <t>Chi phí / thợ kích hoạt</t>
        </is>
      </c>
      <c r="B31" s="10">
        <f>IF(B9=0,0,B22/B9)</f>
        <v/>
      </c>
      <c r="C31" s="10">
        <f>IF(C9=0,0,C22/C9)</f>
        <v/>
      </c>
      <c r="D31" s="10">
        <f>IF(D9=0,0,D22/D9)</f>
        <v/>
      </c>
      <c r="E31" s="10">
        <f>IF(E9=0,0,E22/E9)</f>
        <v/>
      </c>
      <c r="F31" s="10">
        <f>IF(F9=0,0,F22/F9)</f>
        <v/>
      </c>
      <c r="G31" s="10">
        <f>IF(G9=0,0,G22/G9)</f>
        <v/>
      </c>
      <c r="H31" s="10">
        <f>IF(H9=0,0,H22/H9)</f>
        <v/>
      </c>
      <c r="I31" s="10">
        <f>IF(I9=0,0,I22/I9)</f>
        <v/>
      </c>
      <c r="J31" s="10">
        <f>IF(J9=0,0,J22/J9)</f>
        <v/>
      </c>
      <c r="K31" s="10">
        <f>IF(K9=0,0,K22/K9)</f>
        <v/>
      </c>
      <c r="L31" s="10">
        <f>IF(L9=0,0,L22/L9)</f>
        <v/>
      </c>
      <c r="M31" s="10">
        <f>IF(M9=0,0,M22/M9)</f>
        <v/>
      </c>
      <c r="N31" s="11">
        <f>IF(N9=0,0,N22/N9)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60" customWidth="1" min="3" max="3"/>
  </cols>
  <sheetData>
    <row r="1">
      <c r="A1" s="1" t="inlineStr">
        <is>
          <t>TÓM TẮT 12 THÁNG (tự tính từ MoHinh12T)</t>
        </is>
      </c>
    </row>
    <row r="3">
      <c r="A3" s="12" t="inlineStr">
        <is>
          <t>Tổng chi tiền mặt 12 tháng</t>
        </is>
      </c>
      <c r="B3" s="13">
        <f>MoHinh12T!N22</f>
        <v/>
      </c>
      <c r="C3" s="5" t="inlineStr">
        <is>
          <t>Số tiền túi cần chuẩn bị cho tăng trưởng cung thợ</t>
        </is>
      </c>
    </row>
    <row r="4">
      <c r="A4" s="12" t="inlineStr">
        <is>
          <t>Burn trung bình / tháng</t>
        </is>
      </c>
      <c r="B4" s="13">
        <f>MoHinh12T!N22/12</f>
        <v/>
      </c>
    </row>
    <row r="5">
      <c r="A5" s="12" t="inlineStr">
        <is>
          <t>Thợ được duyệt (lũy kế cuối T12)</t>
        </is>
      </c>
      <c r="B5" s="13">
        <f>MoHinh12T!N10</f>
        <v/>
      </c>
    </row>
    <row r="6">
      <c r="A6" s="12" t="inlineStr">
        <is>
          <t>Thợ kích hoạt (lũy kế cuối T12)</t>
        </is>
      </c>
      <c r="B6" s="13">
        <f>MoHinh12T!N11</f>
        <v/>
      </c>
    </row>
    <row r="7">
      <c r="A7" s="12" t="inlineStr">
        <is>
          <t>Thợ sống tại T12</t>
        </is>
      </c>
      <c r="B7" s="13">
        <f>MoHinh12T!N12</f>
        <v/>
      </c>
      <c r="C7" s="5" t="inlineStr">
        <is>
          <t>Tài sản thật khi bắt đầu monetize</t>
        </is>
      </c>
    </row>
    <row r="8">
      <c r="A8" s="12" t="inlineStr">
        <is>
          <t>Chi phí bình quân / hồ sơ duyệt</t>
        </is>
      </c>
      <c r="B8" s="13">
        <f>MoHinh12T!N30</f>
        <v/>
      </c>
      <c r="C8" s="5" t="inlineStr">
        <is>
          <t>So sánh: 1 lead ads FB ngành dịch vụ ~50-150k mà chưa chắc là THỢ</t>
        </is>
      </c>
    </row>
    <row r="9">
      <c r="A9" s="12" t="inlineStr">
        <is>
          <t>Chi phí bình quân / thợ kích hoạt</t>
        </is>
      </c>
      <c r="B9" s="13">
        <f>MoHinh12T!N31</f>
        <v/>
      </c>
      <c r="C9" s="5" t="inlineStr">
        <is>
          <t>KPI quan trọng nhất của mô hình</t>
        </is>
      </c>
    </row>
    <row r="10">
      <c r="A10" s="12" t="inlineStr">
        <is>
          <t>Doanh thu</t>
        </is>
      </c>
      <c r="B10" s="13" t="n">
        <v>0</v>
      </c>
      <c r="C10" s="5">
        <f> 0 theo chiến lược — nền tảng không thu tiền giai đoạn này</f>
        <v/>
      </c>
    </row>
    <row r="12">
      <c r="A12" s="14" t="inlineStr">
        <is>
          <t>Lưu ý: tặng ví 200.000đ/thợ khi duyệt là TIỀN ẢO (credit), không nằm trong chi tiền mặt.</t>
        </is>
      </c>
    </row>
    <row r="13">
      <c r="A13" s="5" t="inlineStr">
        <is>
          <t>Thử kịch bản: sửa ô vàng ở sheet GiaDinh (số CTV, tỉ lệ duyệt, hoa hồng...).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2026-07-18T14:41:43Z</dcterms:created>
  <dcterms:modified xmlns:dcterms="http://purl.org/dc/terms/" xmlns:xsi="http://www.w3.org/2001/XMLSchema-instance" xsi:type="dcterms:W3CDTF">2026-07-18T14:41:43Z</dcterms:modified>
</cp:coreProperties>
</file>